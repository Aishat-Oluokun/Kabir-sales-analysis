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Assignments\data\"/>
    </mc:Choice>
  </mc:AlternateContent>
  <xr:revisionPtr revIDLastSave="0" documentId="13_ncr:1_{57E9511E-0FFB-4003-98A0-F0932DDAC8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" i="1" l="1"/>
  <c r="J16" i="1"/>
  <c r="X4" i="1"/>
  <c r="X5" i="1"/>
  <c r="X6" i="1"/>
  <c r="U17" i="1"/>
  <c r="S22" i="1"/>
  <c r="M21" i="1"/>
  <c r="T21" i="1"/>
  <c r="T22" i="1"/>
  <c r="U21" i="1"/>
  <c r="S21" i="1"/>
  <c r="U20" i="1"/>
  <c r="T20" i="1"/>
  <c r="S20" i="1"/>
  <c r="U19" i="1"/>
  <c r="T19" i="1"/>
  <c r="S19" i="1"/>
  <c r="U18" i="1"/>
  <c r="T18" i="1"/>
  <c r="S18" i="1"/>
  <c r="T17" i="1"/>
  <c r="S17" i="1"/>
  <c r="L10" i="1"/>
  <c r="K10" i="1"/>
  <c r="L9" i="1"/>
  <c r="K9" i="1"/>
  <c r="L8" i="1"/>
  <c r="L7" i="1"/>
  <c r="L6" i="1"/>
  <c r="K6" i="1"/>
  <c r="J10" i="1"/>
  <c r="J9" i="1"/>
  <c r="J8" i="1"/>
  <c r="J7" i="1"/>
  <c r="J6" i="1"/>
  <c r="O20" i="1"/>
  <c r="O19" i="1"/>
  <c r="O18" i="1"/>
  <c r="O17" i="1"/>
  <c r="O16" i="1"/>
  <c r="N20" i="1"/>
  <c r="N19" i="1"/>
  <c r="N18" i="1"/>
  <c r="N17" i="1"/>
  <c r="N16" i="1"/>
  <c r="P8" i="1"/>
  <c r="P7" i="1"/>
  <c r="P6" i="1"/>
  <c r="P5" i="1"/>
  <c r="P4" i="1"/>
  <c r="J21" i="1"/>
  <c r="I21" i="1"/>
  <c r="J20" i="1"/>
  <c r="I20" i="1"/>
  <c r="J19" i="1"/>
  <c r="I19" i="1"/>
  <c r="U22" i="1" l="1"/>
  <c r="S23" i="1" s="1"/>
  <c r="J18" i="1"/>
  <c r="I18" i="1"/>
  <c r="J17" i="1"/>
  <c r="I17" i="1"/>
  <c r="I16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<sst xmlns="http://schemas.openxmlformats.org/spreadsheetml/2006/main" count="75" uniqueCount="29">
  <si>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</si>
  <si>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</si>
  <si>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</si>
  <si>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</si>
  <si>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</si>
  <si>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</si>
  <si>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</si>
  <si>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</si>
  <si>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</si>
  <si>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</si>
  <si>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</si>
  <si>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</si>
  <si>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</si>
  <si>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</si>
  <si>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</si>
  <si>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</si>
  <si>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</si>
  <si>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</si>
  <si>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</si>
  <si>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</si>
  <si>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</si>
  <si>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</si>
  <si>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</si>
  <si>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</si>
  <si>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</si>
  <si>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>Total Quantity sold per year</t>
  </si>
  <si>
    <t>Average Quantity sold per year</t>
  </si>
  <si>
    <t>Total</t>
  </si>
  <si>
    <t xml:space="preserve"> Total Quantity Sold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</si>
</sst>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164" fontId="1" fillId="0" borderId="5" xfId="1" applyFont="1" applyFill="1" applyBorder="1" applyAlignment="1"/>
    <xf numFmtId="0" fontId="0" fillId="0" borderId="18" xfId="0" applyBorder="1"/>
    <xf numFmtId="165" fontId="1" fillId="0" borderId="5" xfId="1" applyNumberFormat="1" applyFont="1" applyFill="1" applyBorder="1" applyAlignment="1"/>
    <xf numFmtId="0" fontId="1" fillId="0" borderId="5" xfId="1" applyNumberFormat="1" applyFont="1" applyFill="1" applyBorder="1" applyAlignment="1"/>
    <xf numFmtId="0" fontId="0" fillId="0" borderId="19" xfId="0" applyFill="1" applyBorder="1"/>
    <xf numFmtId="165" fontId="0" fillId="0" borderId="0" xfId="0" applyNumberFormat="1"/>
    <xf numFmtId="165" fontId="0" fillId="0" borderId="0" xfId="0" applyNumberFormat="1" applyAlignment="1">
      <alignment horizontal="right" indent="3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6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6"/>
  <sheetViews>
    <sheetView tabSelected="1" topLeftCell="F2" zoomScale="84" zoomScaleNormal="84" workbookViewId="0">
      <selection activeCell="L8" sqref="L8"/>
    </sheetView>
  </sheetViews>
  <sheetFormatPr defaultRowHeight="15" x14ac:dyDescent="0.25"/>
  <cols>
    <col min="1" max="1" width="5.5703125" bestFit="1" customWidth="1"/>
    <col min="2" max="2" width="9" bestFit="1" customWidth="1"/>
    <col min="3" max="3" width="7" bestFit="1" customWidth="1"/>
    <col min="4" max="4" width="12.85546875" bestFit="1" customWidth="1"/>
    <col min="5" max="5" width="39.5703125" customWidth="1"/>
    <col min="6" max="6" width="10.42578125" bestFit="1" customWidth="1"/>
    <col min="8" max="8" width="10.42578125" bestFit="1" customWidth="1"/>
    <col min="9" max="9" width="9.42578125" bestFit="1" customWidth="1"/>
    <col min="10" max="10" width="11.28515625" bestFit="1" customWidth="1"/>
    <col min="11" max="11" width="10.85546875" customWidth="1"/>
    <col min="12" max="12" width="11.5703125" customWidth="1"/>
    <col min="13" max="13" width="9.7109375" bestFit="1" customWidth="1"/>
    <col min="14" max="14" width="8.85546875" bestFit="1" customWidth="1"/>
    <col min="15" max="15" width="10.85546875" customWidth="1"/>
    <col min="16" max="16" width="8.7109375" bestFit="1" customWidth="1"/>
    <col min="18" max="18" width="26" bestFit="1" customWidth="1"/>
    <col min="19" max="19" width="8.5703125" customWidth="1"/>
    <col min="20" max="20" width="10.5703125" customWidth="1"/>
    <col min="21" max="21" width="9.85546875" customWidth="1"/>
    <col min="23" max="23" width="26.5703125" bestFit="1" customWidth="1"/>
  </cols>
  <sheetData>
    <row r="1" spans="1:25" ht="25.5" x14ac:dyDescent="0.35">
      <c r="A1" s="41" t="s">
        <v>0</v>
      </c>
      <c r="B1" s="41"/>
      <c r="C1" s="41"/>
      <c r="D1" s="41"/>
      <c r="E1" s="41"/>
      <c r="F1" s="41"/>
    </row>
    <row r="2" spans="1:25" ht="19.5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5" ht="15.75" thickBot="1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N3" s="7"/>
      <c r="O3" s="8" t="s">
        <v>9</v>
      </c>
      <c r="P3" s="9" t="s">
        <v>10</v>
      </c>
      <c r="W3" s="37" t="s">
        <v>28</v>
      </c>
      <c r="X3" s="37"/>
      <c r="Y3" s="37"/>
    </row>
    <row r="4" spans="1:25" ht="15.75" thickBot="1" x14ac:dyDescent="0.3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J4" s="32" t="s">
        <v>24</v>
      </c>
      <c r="K4" s="33"/>
      <c r="L4" s="34"/>
      <c r="N4" s="38" t="s">
        <v>12</v>
      </c>
      <c r="O4" s="13" t="s">
        <v>13</v>
      </c>
      <c r="P4" s="14">
        <f>COUNTIF(D3:D26,"Abdul")</f>
        <v>6</v>
      </c>
      <c r="W4">
        <v>2010</v>
      </c>
      <c r="X4" s="30">
        <f>SUM(S17:S21)</f>
        <v>476</v>
      </c>
    </row>
    <row r="5" spans="1:25" x14ac:dyDescent="0.2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I5" s="20" t="s">
        <v>4</v>
      </c>
      <c r="J5" s="21">
        <v>2010</v>
      </c>
      <c r="K5" s="22">
        <v>2011</v>
      </c>
      <c r="L5" s="23">
        <v>2012</v>
      </c>
      <c r="N5" s="39"/>
      <c r="O5" s="13" t="s">
        <v>7</v>
      </c>
      <c r="P5" s="14">
        <f>COUNTIF(D3:D26,"Ayo")</f>
        <v>3</v>
      </c>
      <c r="W5">
        <v>2011</v>
      </c>
      <c r="X5" s="30">
        <f>SUM(T17:T21)</f>
        <v>380</v>
      </c>
    </row>
    <row r="6" spans="1:25" x14ac:dyDescent="0.2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I6" s="24" t="s">
        <v>13</v>
      </c>
      <c r="J6" s="25">
        <f>SUMIFS(F3:F26,D3:D26,"Abdul",C3:C26,"2010")</f>
        <v>12320</v>
      </c>
      <c r="K6" s="25">
        <f>SUMIFS(F3:F26,D3:D26,"Abdul",C3:C26,"2011")</f>
        <v>23100</v>
      </c>
      <c r="L6" s="25">
        <f>SUMIFS(F3:F26,D3:D26,"Abdul",C3:C26,"2012")</f>
        <v>25520</v>
      </c>
      <c r="N6" s="39"/>
      <c r="O6" s="13" t="s">
        <v>15</v>
      </c>
      <c r="P6" s="14">
        <f>COUNTIF(D3:D26,"Ada")</f>
        <v>5</v>
      </c>
      <c r="W6">
        <v>2012</v>
      </c>
      <c r="X6" s="30">
        <f>SUM(U17:U21)</f>
        <v>368</v>
      </c>
    </row>
    <row r="7" spans="1:25" x14ac:dyDescent="0.2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I7" s="24" t="s">
        <v>7</v>
      </c>
      <c r="J7" s="25">
        <f>SUMIFS(F3:F26,D3:D26,"Ayo",C3:C26,"2010")</f>
        <v>16720</v>
      </c>
      <c r="K7" s="25">
        <f>SUMIFS(F3:F26,D3:D26,"Ayo",C3:C26,"2011")</f>
        <v>6160</v>
      </c>
      <c r="L7" s="25">
        <f>SUMIFS(F3:F26,D3:D26,"Ayo",C3:C26,"2012")</f>
        <v>7920</v>
      </c>
      <c r="N7" s="39"/>
      <c r="O7" s="13" t="s">
        <v>18</v>
      </c>
      <c r="P7" s="14">
        <f>COUNTIF(D3:D26,"Ese")</f>
        <v>3</v>
      </c>
    </row>
    <row r="8" spans="1:25" ht="15.75" thickBot="1" x14ac:dyDescent="0.3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I8" s="24" t="s">
        <v>15</v>
      </c>
      <c r="J8" s="25">
        <f>SUMIFS(F3:F26,D3:D26,"Ada",C3:C26,"2010")</f>
        <v>26840</v>
      </c>
      <c r="K8" s="28">
        <v>0</v>
      </c>
      <c r="L8" s="25">
        <f>SUMIFS(F3:F26,D3:D26,"Ada",C3:C26,"2012")</f>
        <v>15840</v>
      </c>
      <c r="N8" s="40"/>
      <c r="O8" s="17" t="s">
        <v>11</v>
      </c>
      <c r="P8" s="14">
        <f>COUNTIF(D3:D26,"Tola")</f>
        <v>7</v>
      </c>
    </row>
    <row r="9" spans="1:25" x14ac:dyDescent="0.25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I9" s="24" t="s">
        <v>18</v>
      </c>
      <c r="J9" s="25">
        <f>SUMIFS(F3:F26,D3:D26,"Ese",C3:C26,"2010")</f>
        <v>19800</v>
      </c>
      <c r="K9" s="25">
        <f>SUMIFS(F3:F26,D3:D26,"Ese",C3:C26,"2011")</f>
        <v>20900</v>
      </c>
      <c r="L9" s="25">
        <f>SUMIFS(F3:F26,D3:D26,"Ese",C3:C26,"2012")</f>
        <v>11440</v>
      </c>
    </row>
    <row r="10" spans="1:25" ht="15.75" thickBot="1" x14ac:dyDescent="0.3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  <c r="I10" s="26" t="s">
        <v>11</v>
      </c>
      <c r="J10" s="25">
        <f>SUMIFS(F3:F26,D3:D26,"Tola",C3:C26,"2010")</f>
        <v>29040</v>
      </c>
      <c r="K10" s="25">
        <f>SUMIFS(F3:F26,D3:D26,"Tola",C3:C26,"2011")</f>
        <v>33440</v>
      </c>
      <c r="L10" s="25">
        <f>SUMIFS(F3:F26,D3:D26,"Tola",C3:C26,"2012")</f>
        <v>20240</v>
      </c>
    </row>
    <row r="11" spans="1:25" x14ac:dyDescent="0.2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5" x14ac:dyDescent="0.2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5" ht="15.75" thickBot="1" x14ac:dyDescent="0.3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5" ht="15.75" thickBot="1" x14ac:dyDescent="0.3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42" t="s">
        <v>8</v>
      </c>
      <c r="I14" s="43"/>
      <c r="J14" s="44"/>
    </row>
    <row r="15" spans="1:25" ht="15.75" thickBot="1" x14ac:dyDescent="0.3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32" t="s">
        <v>22</v>
      </c>
      <c r="T15" s="33"/>
      <c r="U15" s="34"/>
    </row>
    <row r="16" spans="1:25" x14ac:dyDescent="0.2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>
        <f>SUM(E3:E26)</f>
        <v>1224</v>
      </c>
      <c r="J16" s="45">
        <f>SUM(F3:F26)</f>
        <v>269280</v>
      </c>
      <c r="L16" s="38" t="s">
        <v>23</v>
      </c>
      <c r="M16" s="13" t="s">
        <v>13</v>
      </c>
      <c r="N16" s="13">
        <f>SUMIF(D3:D26,"Abdul",E3:E26)</f>
        <v>277</v>
      </c>
      <c r="O16" s="13">
        <f>SUMIF(D3:D26,"Abdul",F3:F26)</f>
        <v>60940</v>
      </c>
      <c r="R16" s="20" t="s">
        <v>4</v>
      </c>
      <c r="S16" s="21">
        <v>2010</v>
      </c>
      <c r="T16" s="22">
        <v>2011</v>
      </c>
      <c r="U16" s="23">
        <v>2012</v>
      </c>
    </row>
    <row r="17" spans="1:21" x14ac:dyDescent="0.2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>
        <f>MIN(E3:E26)</f>
        <v>24</v>
      </c>
      <c r="J17" s="16">
        <f>MIN(F3:F26)</f>
        <v>5280</v>
      </c>
      <c r="L17" s="39"/>
      <c r="M17" s="13" t="s">
        <v>7</v>
      </c>
      <c r="N17" s="13">
        <f>SUMIF(D3:D26,"Ayo",E3:E26)</f>
        <v>140</v>
      </c>
      <c r="O17" s="13">
        <f>SUMIF(D3:D26,"Ayo",F3:F26)</f>
        <v>30800</v>
      </c>
      <c r="R17" s="24" t="s">
        <v>13</v>
      </c>
      <c r="S17" s="27">
        <f>SUMIFS(E3:E26,D3:D26,"Abdul",C3:C26,"2010")</f>
        <v>56</v>
      </c>
      <c r="T17" s="27">
        <f>SUMIFS(E3:E26,D3:D26,"Abdul",C3:C26,"2011")</f>
        <v>105</v>
      </c>
      <c r="U17" s="27">
        <f>SUMIFS(E3:E26,D3:D26,"Abdul",C3:C26,"2012")</f>
        <v>116</v>
      </c>
    </row>
    <row r="18" spans="1:21" x14ac:dyDescent="0.2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>
        <f>MAX(E3:E26)</f>
        <v>95</v>
      </c>
      <c r="J18" s="16">
        <f>MAX(F3:F26)</f>
        <v>20900</v>
      </c>
      <c r="L18" s="39"/>
      <c r="M18" s="13" t="s">
        <v>15</v>
      </c>
      <c r="N18" s="13">
        <f>SUMIF(D3:D26,"Ada",E3:E26)</f>
        <v>194</v>
      </c>
      <c r="O18" s="13">
        <f>SUMIF(D3:D26,"Ada",F3:F26)</f>
        <v>42680</v>
      </c>
      <c r="R18" s="24" t="s">
        <v>7</v>
      </c>
      <c r="S18" s="27">
        <f>SUMIFS(E3:E26,D3:D26,"Ayo",C3:C26,"2010")</f>
        <v>76</v>
      </c>
      <c r="T18" s="27">
        <f>SUMIFS(E3:E26,D3:D26,"Ayo",C3:C26,"2011")</f>
        <v>28</v>
      </c>
      <c r="U18" s="27">
        <f>SUMIFS(E3:E26,D3:D26,"Ayo",C3:C26,"2012")</f>
        <v>36</v>
      </c>
    </row>
    <row r="19" spans="1:21" x14ac:dyDescent="0.2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>
        <f>AVERAGE(E3:E26)</f>
        <v>51</v>
      </c>
      <c r="J19" s="16">
        <f>AVERAGE(F3:F26)</f>
        <v>11220</v>
      </c>
      <c r="L19" s="39"/>
      <c r="M19" s="13" t="s">
        <v>18</v>
      </c>
      <c r="N19" s="13">
        <f>SUMIF(D3:D26,"Ese",E3:E26)</f>
        <v>237</v>
      </c>
      <c r="O19" s="13">
        <f>SUMIF(D3:D26,"Ese",F3:F26)</f>
        <v>52140</v>
      </c>
      <c r="R19" s="24" t="s">
        <v>15</v>
      </c>
      <c r="S19" s="27">
        <f>SUMIFS(E3:E26,D3:D26,"Ada",C3:C26,"2010")</f>
        <v>122</v>
      </c>
      <c r="T19" s="28">
        <f>SUMIFS(E3:E26,D3:D26,"Ada",C3:C26,"2011")</f>
        <v>0</v>
      </c>
      <c r="U19" s="27">
        <f>SUMIFS(E3:E26,D3:D26,"Ada",C3:C26,"2012")</f>
        <v>72</v>
      </c>
    </row>
    <row r="20" spans="1:21" ht="15.75" thickBot="1" x14ac:dyDescent="0.3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>
        <f>COUNT(E3:E26)</f>
        <v>24</v>
      </c>
      <c r="J20" s="14">
        <f>COUNT(F3:F26)</f>
        <v>24</v>
      </c>
      <c r="L20" s="40"/>
      <c r="M20" s="17" t="s">
        <v>11</v>
      </c>
      <c r="N20" s="13">
        <f>SUMIF(D3:D26,"Tola",E3:E26)</f>
        <v>376</v>
      </c>
      <c r="O20" s="13">
        <f>SUMIF(D3:D26,"Tola",F3:F26)</f>
        <v>82720</v>
      </c>
      <c r="R20" s="24" t="s">
        <v>18</v>
      </c>
      <c r="S20" s="27">
        <f>SUMIFS(E3:E26,D3:D26,"Ese",C3:C26,"2010")</f>
        <v>90</v>
      </c>
      <c r="T20" s="27">
        <f>SUMIFS(E3:E26,D3:D26,"Ese",C3:C26,"2011")</f>
        <v>95</v>
      </c>
      <c r="U20" s="27">
        <f>SUMIFS(E3:E26,D3:D26,"Ese",C3:C26,"2012")</f>
        <v>52</v>
      </c>
    </row>
    <row r="21" spans="1:21" ht="15.75" thickBot="1" x14ac:dyDescent="0.3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>
        <f>COUNTA(E3:E26)</f>
        <v>24</v>
      </c>
      <c r="J21" s="19">
        <f>COUNTA(F3:F26)</f>
        <v>24</v>
      </c>
      <c r="L21" t="s">
        <v>27</v>
      </c>
      <c r="M21" s="36">
        <f>SUM(N16:N20)</f>
        <v>1224</v>
      </c>
      <c r="N21" s="36"/>
      <c r="R21" s="26" t="s">
        <v>11</v>
      </c>
      <c r="S21" s="27">
        <f>SUMIFS(E3:E26,D3:D26,"Tola",C3:C26,"2010")</f>
        <v>132</v>
      </c>
      <c r="T21" s="27">
        <f>SUMIFS(E3:E26,D3:D26,"Tola",C3:C26,"2011")</f>
        <v>152</v>
      </c>
      <c r="U21" s="27">
        <f>SUMIFS(E3:E26,D3:D26,"Tola",C3:C26,"2012")</f>
        <v>92</v>
      </c>
    </row>
    <row r="22" spans="1:21" x14ac:dyDescent="0.2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  <c r="R22" s="29" t="s">
        <v>25</v>
      </c>
      <c r="S22" s="30">
        <f>SUM(S17:S21)</f>
        <v>476</v>
      </c>
      <c r="T22" s="30">
        <f t="shared" ref="T22:U22" si="1">SUM(T17:T21)</f>
        <v>380</v>
      </c>
      <c r="U22" s="30">
        <f t="shared" si="1"/>
        <v>368</v>
      </c>
    </row>
    <row r="23" spans="1:21" x14ac:dyDescent="0.2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  <c r="R23" s="29" t="s">
        <v>26</v>
      </c>
      <c r="S23" s="35">
        <f>AVERAGE(S22:U22)</f>
        <v>408</v>
      </c>
      <c r="T23" s="35"/>
      <c r="U23" s="35"/>
    </row>
    <row r="24" spans="1:21" x14ac:dyDescent="0.2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  <c r="T24" s="31"/>
      <c r="U24" s="31"/>
    </row>
    <row r="25" spans="1:21" x14ac:dyDescent="0.2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2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9">
    <mergeCell ref="A1:F1"/>
    <mergeCell ref="H14:J14"/>
    <mergeCell ref="N4:N8"/>
    <mergeCell ref="S15:U15"/>
    <mergeCell ref="S23:U23"/>
    <mergeCell ref="M21:N21"/>
    <mergeCell ref="W3:Y3"/>
    <mergeCell ref="L16:L20"/>
    <mergeCell ref="J4:L4"/>
  </mergeCells>
  <conditionalFormatting sqref="O16:O2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Aishat Oluokun</cp:lastModifiedBy>
  <dcterms:created xsi:type="dcterms:W3CDTF">2024-05-08T21:08:42Z</dcterms:created>
  <dcterms:modified xsi:type="dcterms:W3CDTF">2026-05-02T00:04:55Z</dcterms:modified>
</cp:coreProperties>
</file>